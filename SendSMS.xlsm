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ownloads\"/>
    </mc:Choice>
  </mc:AlternateContent>
  <xr:revisionPtr revIDLastSave="0" documentId="13_ncr:1_{D62C974B-64BF-4A57-AD33-FD7856CA0C90}" xr6:coauthVersionLast="46" xr6:coauthVersionMax="47" xr10:uidLastSave="{00000000-0000-0000-0000-000000000000}"/>
  <bookViews>
    <workbookView xWindow="-110" yWindow="-110" windowWidth="19420" windowHeight="10420" tabRatio="312" xr2:uid="{00000000-000D-0000-FFFF-FFFF00000000}"/>
  </bookViews>
  <sheets>
    <sheet name="Campaigns" sheetId="1" r:id="rId1"/>
    <sheet name="Customers" sheetId="2" r:id="rId2"/>
  </sheets>
  <definedNames>
    <definedName name="_xlnm._FilterDatabase" localSheetId="0" hidden="1">Campaigns!$D$14:$L$14</definedName>
    <definedName name="_xlnm._FilterDatabase" localSheetId="1" hidden="1">Customers!$A$2:$I$13</definedName>
    <definedName name="_xlnm.Criteria" localSheetId="0">Campaigns!$T$2:$U$3</definedName>
    <definedName name="_xlnm.Criteria" localSheetId="1">Customers!$N$2:$O$3</definedName>
    <definedName name="CustType">Campaigns!$B$8:$B$12</definedName>
    <definedName name="_xlnm.Extract" localSheetId="0">Campaigns!$W$2:$AE$2</definedName>
    <definedName name="_xlnm.Extract" localSheetId="1">Customers!$Q$2:$Y$2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K4" i="1"/>
  <c r="K6" i="1" s="1"/>
  <c r="I3" i="2" l="1"/>
  <c r="I4" i="2"/>
  <c r="I5" i="2"/>
  <c r="I6" i="2"/>
  <c r="I7" i="2"/>
  <c r="I8" i="2"/>
  <c r="I9" i="2"/>
  <c r="I10" i="2"/>
  <c r="I11" i="2"/>
  <c r="I12" i="2"/>
  <c r="I13" i="2"/>
  <c r="T3" i="1"/>
</calcChain>
</file>

<file path=xl/sharedStrings.xml><?xml version="1.0" encoding="utf-8"?>
<sst xmlns="http://schemas.openxmlformats.org/spreadsheetml/2006/main" count="154" uniqueCount="74">
  <si>
    <t>SEND SMS &amp; TEXT MESSAGES</t>
  </si>
  <si>
    <t>Campaign Name</t>
  </si>
  <si>
    <t>First Name</t>
  </si>
  <si>
    <t>Last Name</t>
  </si>
  <si>
    <t>Customer Type</t>
  </si>
  <si>
    <t>Phone #</t>
  </si>
  <si>
    <t>Ok To Send</t>
  </si>
  <si>
    <t>Last Sent</t>
  </si>
  <si>
    <t>Campaign Sent</t>
  </si>
  <si>
    <t>Send On</t>
  </si>
  <si>
    <t>Send To</t>
  </si>
  <si>
    <t>Message Text</t>
  </si>
  <si>
    <t>#First#</t>
  </si>
  <si>
    <t>#Last#</t>
  </si>
  <si>
    <t>Avail. Characters</t>
  </si>
  <si>
    <t>Send At</t>
  </si>
  <si>
    <t>CAMPAIGN DETAILS</t>
  </si>
  <si>
    <t>MESSAGE CAMPAIGNS</t>
  </si>
  <si>
    <t>Retail</t>
  </si>
  <si>
    <t>Wholesale</t>
  </si>
  <si>
    <t>Commercial</t>
  </si>
  <si>
    <t>Cust Type</t>
  </si>
  <si>
    <t>Residential</t>
  </si>
  <si>
    <t>Velez</t>
  </si>
  <si>
    <t>Caryn</t>
  </si>
  <si>
    <t>Tanner</t>
  </si>
  <si>
    <t>Tamekah</t>
  </si>
  <si>
    <t>Holmes</t>
  </si>
  <si>
    <t>Justin</t>
  </si>
  <si>
    <t>Combs</t>
  </si>
  <si>
    <t>Russell</t>
  </si>
  <si>
    <t>Joseph</t>
  </si>
  <si>
    <t>Hunter</t>
  </si>
  <si>
    <t>Mullen</t>
  </si>
  <si>
    <t>Knox</t>
  </si>
  <si>
    <t>Sullivan</t>
  </si>
  <si>
    <t>Madonna</t>
  </si>
  <si>
    <t>Rodriquez</t>
  </si>
  <si>
    <t>Adara</t>
  </si>
  <si>
    <t>Spencer</t>
  </si>
  <si>
    <t>Hedley</t>
  </si>
  <si>
    <t>Hooper</t>
  </si>
  <si>
    <t>Quamar</t>
  </si>
  <si>
    <t>Trevino</t>
  </si>
  <si>
    <t>No</t>
  </si>
  <si>
    <t>Customer List</t>
  </si>
  <si>
    <t>[All Types]</t>
  </si>
  <si>
    <t>E4</t>
  </si>
  <si>
    <t>E5</t>
  </si>
  <si>
    <t>H5</t>
  </si>
  <si>
    <t>H4</t>
  </si>
  <si>
    <t>E6</t>
  </si>
  <si>
    <t>Sel. Row</t>
  </si>
  <si>
    <t>Send Row</t>
  </si>
  <si>
    <t>Camp Load</t>
  </si>
  <si>
    <t>Sent On</t>
  </si>
  <si>
    <t>Criteria</t>
  </si>
  <si>
    <t>Results</t>
  </si>
  <si>
    <t>Row</t>
  </si>
  <si>
    <t>=</t>
  </si>
  <si>
    <t>Send To Type</t>
  </si>
  <si>
    <t>Send Status</t>
  </si>
  <si>
    <t>Success</t>
  </si>
  <si>
    <t>Message Detail</t>
  </si>
  <si>
    <t>Mess. Characters</t>
  </si>
  <si>
    <t>Mess. Limit</t>
  </si>
  <si>
    <t>Variable</t>
  </si>
  <si>
    <t>Summer Sale</t>
  </si>
  <si>
    <t>Fred</t>
  </si>
  <si>
    <t>Test</t>
  </si>
  <si>
    <t>test</t>
  </si>
  <si>
    <t>Failed</t>
  </si>
  <si>
    <t>aaaaa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</si>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</sst>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8"/>
      <color theme="8" tint="-0.499984740745262"/>
      <name val="Arial Rounded MT Bold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15">
    <fill>
      <patternFill patternType="none"/>
    </fill>
    <fill>
      <patternFill patternType="gray125"/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auto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7" tint="-0.499984740745262"/>
      </left>
      <right/>
      <top/>
      <bottom style="thin">
        <color theme="7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/>
      <bottom style="thin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/>
      <bottom style="thin">
        <color theme="8" tint="-0.499984740745262"/>
      </bottom>
      <diagonal/>
    </border>
    <border>
      <left/>
      <right style="thin">
        <color theme="8" tint="-0.499984740745262"/>
      </right>
      <top/>
      <bottom style="thin">
        <color theme="8" tint="-0.499984740745262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0" xfId="0" applyFont="1"/>
    <xf numFmtId="0" fontId="2" fillId="4" borderId="0" xfId="0" applyFont="1" applyFill="1" applyBorder="1"/>
    <xf numFmtId="0" fontId="2" fillId="4" borderId="0" xfId="0" applyFont="1" applyFill="1" applyBorder="1" applyAlignment="1">
      <alignment horizontal="left" vertical="center" indent="1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/>
    <xf numFmtId="0" fontId="0" fillId="6" borderId="0" xfId="0" applyFill="1"/>
    <xf numFmtId="0" fontId="0" fillId="0" borderId="0" xfId="0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14" fontId="2" fillId="4" borderId="0" xfId="0" applyNumberFormat="1" applyFont="1" applyFill="1" applyBorder="1" applyAlignment="1">
      <alignment horizontal="left"/>
    </xf>
    <xf numFmtId="0" fontId="0" fillId="10" borderId="0" xfId="0" applyFill="1"/>
    <xf numFmtId="0" fontId="1" fillId="12" borderId="2" xfId="0" applyFont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22" fontId="0" fillId="0" borderId="0" xfId="0" applyNumberFormat="1"/>
    <xf numFmtId="0" fontId="3" fillId="11" borderId="3" xfId="0" applyFont="1" applyFill="1" applyBorder="1" applyAlignment="1">
      <alignment horizontal="center" wrapText="1"/>
    </xf>
    <xf numFmtId="0" fontId="0" fillId="7" borderId="10" xfId="0" applyFill="1" applyBorder="1" applyAlignment="1">
      <alignment horizontal="left"/>
    </xf>
    <xf numFmtId="0" fontId="0" fillId="13" borderId="1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0" xfId="0" applyFill="1" applyBorder="1" applyAlignment="1">
      <alignment horizontal="right"/>
    </xf>
    <xf numFmtId="0" fontId="0" fillId="4" borderId="0" xfId="0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right"/>
    </xf>
    <xf numFmtId="164" fontId="2" fillId="4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right" vertical="center"/>
    </xf>
    <xf numFmtId="0" fontId="0" fillId="4" borderId="9" xfId="0" applyFill="1" applyBorder="1" applyAlignment="1">
      <alignment horizontal="right"/>
    </xf>
    <xf numFmtId="0" fontId="2" fillId="4" borderId="14" xfId="0" applyFont="1" applyFill="1" applyBorder="1" applyAlignment="1">
      <alignment horizontal="right" vertical="center"/>
    </xf>
    <xf numFmtId="0" fontId="0" fillId="4" borderId="14" xfId="0" applyFill="1" applyBorder="1" applyAlignment="1">
      <alignment horizontal="right"/>
    </xf>
    <xf numFmtId="0" fontId="2" fillId="5" borderId="16" xfId="0" applyFont="1" applyFill="1" applyBorder="1" applyAlignment="1"/>
    <xf numFmtId="0" fontId="3" fillId="3" borderId="11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left" vertical="center"/>
    </xf>
    <xf numFmtId="0" fontId="2" fillId="4" borderId="11" xfId="0" applyFont="1" applyFill="1" applyBorder="1"/>
    <xf numFmtId="0" fontId="2" fillId="4" borderId="11" xfId="0" applyFont="1" applyFill="1" applyBorder="1" applyAlignment="1">
      <alignment horizontal="left"/>
    </xf>
    <xf numFmtId="0" fontId="0" fillId="4" borderId="11" xfId="0" applyFill="1" applyBorder="1"/>
    <xf numFmtId="0" fontId="2" fillId="0" borderId="0" xfId="0" applyFont="1" applyAlignment="1"/>
    <xf numFmtId="0" fontId="0" fillId="0" borderId="0" xfId="0" applyAlignment="1"/>
    <xf numFmtId="0" fontId="0" fillId="0" borderId="0" xfId="0" applyFill="1" applyAlignment="1"/>
    <xf numFmtId="0" fontId="2" fillId="4" borderId="0" xfId="0" applyFont="1" applyFill="1" applyBorder="1" applyAlignment="1">
      <alignment horizontal="left"/>
    </xf>
    <xf numFmtId="14" fontId="0" fillId="6" borderId="0" xfId="0" applyNumberFormat="1" applyFill="1"/>
    <xf numFmtId="14" fontId="2" fillId="0" borderId="0" xfId="0" applyNumberFormat="1" applyFont="1" applyFill="1" applyBorder="1" applyAlignment="1">
      <alignment horizontal="left"/>
    </xf>
    <xf numFmtId="164" fontId="0" fillId="5" borderId="13" xfId="0" applyNumberFormat="1" applyFill="1" applyBorder="1" applyAlignment="1" applyProtection="1">
      <alignment horizontal="left"/>
    </xf>
    <xf numFmtId="0" fontId="6" fillId="9" borderId="2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left" vertical="top" wrapText="1"/>
    </xf>
    <xf numFmtId="0" fontId="2" fillId="5" borderId="15" xfId="0" applyFont="1" applyFill="1" applyBorder="1" applyAlignment="1">
      <alignment horizontal="left" vertical="top" wrapText="1"/>
    </xf>
    <xf numFmtId="0" fontId="2" fillId="5" borderId="13" xfId="0" applyFont="1" applyFill="1" applyBorder="1" applyAlignment="1">
      <alignment horizontal="left" vertical="top" wrapText="1"/>
    </xf>
    <xf numFmtId="0" fontId="2" fillId="5" borderId="12" xfId="0" applyFont="1" applyFill="1" applyBorder="1" applyAlignment="1">
      <alignment horizontal="left" vertical="top" wrapText="1"/>
    </xf>
    <xf numFmtId="165" fontId="2" fillId="5" borderId="1" xfId="0" applyNumberFormat="1" applyFont="1" applyFill="1" applyBorder="1" applyAlignment="1" applyProtection="1">
      <alignment horizontal="left"/>
    </xf>
    <xf numFmtId="0" fontId="5" fillId="10" borderId="0" xfId="0" applyFont="1" applyFill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7" xfId="0" applyFont="1" applyFill="1" applyBorder="1" applyAlignment="1">
      <alignment horizontal="center"/>
    </xf>
    <xf numFmtId="0" fontId="5" fillId="10" borderId="8" xfId="0" applyFont="1" applyFill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rgb="FFF1F5E7"/>
        </patternFill>
      </fill>
    </dxf>
    <dxf>
      <fill>
        <patternFill>
          <bgColor theme="0"/>
        </patternFill>
      </fill>
      <border>
        <left style="hair">
          <color theme="8" tint="-0.499984740745262"/>
        </left>
        <right style="hair">
          <color theme="8" tint="-0.499984740745262"/>
        </right>
        <vertical/>
        <horizontal/>
      </border>
    </dxf>
    <dxf>
      <fill>
        <patternFill>
          <bgColor rgb="FFE2F2F6"/>
        </patternFill>
      </fill>
      <border>
        <left style="hair">
          <color theme="8" tint="-0.499984740745262"/>
        </left>
        <right style="hair">
          <color theme="8" tint="-0.499984740745262"/>
        </right>
      </border>
    </dxf>
    <dxf>
      <border>
        <bottom style="thin">
          <color theme="8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  <dxf>
      <border>
        <right style="thin">
          <color theme="8" tint="-0.499984740745262"/>
        </right>
        <vertical/>
        <horizontal/>
      </border>
    </dxf>
    <dxf>
      <border>
        <left style="thin">
          <color theme="8" tint="-0.499984740745262"/>
        </left>
        <vertical/>
        <horizontal/>
      </border>
    </dxf>
  </dxfs>
  <tableStyles count="0" defaultTableStyle="TableStyleMedium2" defaultPivotStyle="PivotStyleLight16"/>
  <colors>
    <mruColors>
      <color rgb="FFF1F5E7"/>
      <color rgb="FFE2F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microsoft.com/office/2007/relationships/hdphoto" Target="../media/hdphoto1.wdp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729817</xdr:colOff>
      <xdr:row>0</xdr:row>
      <xdr:rowOff>101058</xdr:rowOff>
    </xdr:from>
    <xdr:to>
      <xdr:col>3</xdr:col>
      <xdr:colOff>135006</xdr:colOff>
      <xdr:row>2</xdr:row>
      <xdr:rowOff>115957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4121" y="101058"/>
          <a:ext cx="945755" cy="950834"/>
        </a:xfrm>
        <a:prstGeom prst="rect">
          <a:avLst/>
        </a:prstGeom>
      </xdr:spPr>
    </xdr:pic>
    <xdr:clientData/>
  </xdr:twoCellAnchor>
  <xdr:twoCellAnchor>
    <xdr:from>
      <xdr:col>3</xdr:col>
      <xdr:colOff>704850</xdr:colOff>
      <xdr:row>1</xdr:row>
      <xdr:rowOff>33338</xdr:rowOff>
    </xdr:from>
    <xdr:to>
      <xdr:col>4</xdr:col>
      <xdr:colOff>1028700</xdr:colOff>
      <xdr:row>1</xdr:row>
      <xdr:rowOff>347663</xdr:rowOff>
    </xdr:to>
    <xdr:grpSp>
      <xdr:nvGrpSpPr>
        <xdr:cNvPr id="30" name="SaveCampBtn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3872379" y="481573"/>
          <a:ext cx="1690968" cy="314325"/>
          <a:chOff x="4953000" y="962025"/>
          <a:chExt cx="1628775" cy="314325"/>
        </a:xfrm>
      </xdr:grpSpPr>
      <xdr:sp macro="[0]!Camp_Save" textlink="">
        <xdr:nvSpPr>
          <xdr:cNvPr id="24" name="Rounded Rectangle 23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953000" y="962025"/>
            <a:ext cx="1628775" cy="314325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/>
              <a:t>Save </a:t>
            </a:r>
            <a:r>
              <a:rPr lang="en-US" sz="1400"/>
              <a:t>Campaign</a:t>
            </a:r>
            <a:endParaRPr lang="en-US" sz="1600"/>
          </a:p>
        </xdr:txBody>
      </xdr:sp>
      <xdr:pic macro="[0]!Camp_Save">
        <xdr:nvPicPr>
          <xdr:cNvPr id="17" name="Picture 16" hidden="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40000"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3925" y="992962"/>
            <a:ext cx="252450" cy="2524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1047750</xdr:colOff>
      <xdr:row>1</xdr:row>
      <xdr:rowOff>61913</xdr:rowOff>
    </xdr:from>
    <xdr:to>
      <xdr:col>7</xdr:col>
      <xdr:colOff>57149</xdr:colOff>
      <xdr:row>1</xdr:row>
      <xdr:rowOff>376238</xdr:rowOff>
    </xdr:to>
    <xdr:grpSp>
      <xdr:nvGrpSpPr>
        <xdr:cNvPr id="2" name="ExistCampGrp">
          <a:extLst>
            <a:ext uri="{FF2B5EF4-FFF2-40B4-BE49-F238E27FC236}">
              <a16:creationId xmlns:a16="http://schemas.microsoft.com/office/drawing/2014/main" id="{2C923F0D-14D5-4F2E-8207-076906413D03}"/>
            </a:ext>
          </a:extLst>
        </xdr:cNvPr>
        <xdr:cNvGrpSpPr/>
      </xdr:nvGrpSpPr>
      <xdr:grpSpPr>
        <a:xfrm>
          <a:off x="4215279" y="510148"/>
          <a:ext cx="3910105" cy="314325"/>
          <a:chOff x="4215279" y="510148"/>
          <a:chExt cx="3910105" cy="314325"/>
        </a:xfrm>
      </xdr:grpSpPr>
      <xdr:grpSp>
        <xdr:nvGrpSpPr>
          <xdr:cNvPr id="29" name="NewCampBtn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215279" y="510148"/>
            <a:ext cx="1646892" cy="314325"/>
            <a:chOff x="2886075" y="504825"/>
            <a:chExt cx="1552575" cy="314325"/>
          </a:xfrm>
        </xdr:grpSpPr>
        <xdr:sp macro="[0]!Camp_AddNew" textlink="">
          <xdr:nvSpPr>
            <xdr:cNvPr id="27" name="Rounded Rectangle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>
            <a:xfrm>
              <a:off x="2886075" y="504825"/>
              <a:ext cx="1552575" cy="314325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/>
                <a:t>New Campaign</a:t>
              </a:r>
            </a:p>
          </xdr:txBody>
        </xdr:sp>
        <xdr:pic macro="[0]!Camp_AddNew"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BEBA8EAE-BF5A-486C-A8C5-ECC9F3942E4B}">
                  <a14:imgProps xmlns:a14="http://schemas.microsoft.com/office/drawing/2010/main">
                    <a14:imgLayer r:embed="rId5">
                      <a14:imgEffect>
                        <a14:brightnessContrast bright="4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14650" y="547687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31" name="DelCampBtn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256212" y="510148"/>
            <a:ext cx="1869172" cy="314325"/>
            <a:chOff x="5114924" y="733425"/>
            <a:chExt cx="1762125" cy="314325"/>
          </a:xfrm>
        </xdr:grpSpPr>
        <xdr:sp macro="[0]!Camp_Delete" textlink="">
          <xdr:nvSpPr>
            <xdr:cNvPr id="26" name="Rounded Rectangle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5114924" y="733425"/>
              <a:ext cx="1762125" cy="314325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/>
                <a:t>Delete</a:t>
              </a:r>
              <a:r>
                <a:rPr lang="en-US" sz="1400" baseline="0"/>
                <a:t> Campaign</a:t>
              </a:r>
              <a:endParaRPr lang="en-US" sz="1400"/>
            </a:p>
          </xdr:txBody>
        </xdr:sp>
        <xdr:pic macro="[0]!Camp_Delete">
          <xdr:nvPicPr>
            <xdr:cNvPr id="20" name="Picture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3925" y="776287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581025</xdr:colOff>
      <xdr:row>1</xdr:row>
      <xdr:rowOff>80963</xdr:rowOff>
    </xdr:from>
    <xdr:to>
      <xdr:col>11</xdr:col>
      <xdr:colOff>0</xdr:colOff>
      <xdr:row>1</xdr:row>
      <xdr:rowOff>395288</xdr:rowOff>
    </xdr:to>
    <xdr:grpSp>
      <xdr:nvGrpSpPr>
        <xdr:cNvPr id="32" name="SendCamp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8649260" y="529198"/>
          <a:ext cx="2593975" cy="314325"/>
          <a:chOff x="7639050" y="552450"/>
          <a:chExt cx="2447925" cy="314325"/>
        </a:xfrm>
      </xdr:grpSpPr>
      <xdr:sp macro="[0]!Camp_Check" textlink="">
        <xdr:nvSpPr>
          <xdr:cNvPr id="25" name="Rounded 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7639050" y="552450"/>
            <a:ext cx="2447925" cy="314325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/>
              <a:t>Send Scheduled Campaigns</a:t>
            </a:r>
          </a:p>
        </xdr:txBody>
      </xdr:sp>
      <xdr:pic macro="[0]!Camp_Check"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0875" y="588075"/>
            <a:ext cx="228600" cy="228600"/>
          </a:xfrm>
          <a:prstGeom prst="rect">
            <a:avLst/>
          </a:prstGeom>
        </xdr:spPr>
      </xdr:pic>
      <xdr:pic macro="[0]!Camp_Check"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67551" y="675754"/>
            <a:ext cx="136880" cy="13716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61633</xdr:colOff>
      <xdr:row>1</xdr:row>
      <xdr:rowOff>76853</xdr:rowOff>
    </xdr:from>
    <xdr:to>
      <xdr:col>7</xdr:col>
      <xdr:colOff>63158</xdr:colOff>
      <xdr:row>1</xdr:row>
      <xdr:rowOff>391179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D1E2E83-68DF-48AC-B805-6022D888C834}"/>
            </a:ext>
          </a:extLst>
        </xdr:cNvPr>
        <xdr:cNvGrpSpPr/>
      </xdr:nvGrpSpPr>
      <xdr:grpSpPr>
        <a:xfrm>
          <a:off x="6262221" y="525088"/>
          <a:ext cx="1869172" cy="314326"/>
          <a:chOff x="6239809" y="1048029"/>
          <a:chExt cx="1869172" cy="314326"/>
        </a:xfrm>
      </xdr:grpSpPr>
      <xdr:sp macro="[0]!Camp_Cancel" textlink="">
        <xdr:nvSpPr>
          <xdr:cNvPr id="18" name="CancelCampBtn" hidden="1">
            <a:extLst>
              <a:ext uri="{FF2B5EF4-FFF2-40B4-BE49-F238E27FC236}">
                <a16:creationId xmlns:a16="http://schemas.microsoft.com/office/drawing/2014/main" id="{68ED1FD2-C71B-4231-B31C-172B12F92D5D}"/>
              </a:ext>
            </a:extLst>
          </xdr:cNvPr>
          <xdr:cNvSpPr/>
        </xdr:nvSpPr>
        <xdr:spPr>
          <a:xfrm>
            <a:off x="6239809" y="1048029"/>
            <a:ext cx="1869172" cy="314326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aseline="0"/>
              <a:t>Cancel Campaign</a:t>
            </a:r>
            <a:endParaRPr lang="en-US" sz="1400"/>
          </a:p>
        </xdr:txBody>
      </xdr:sp>
      <xdr:pic macro="[0]!Camp_Delete">
        <xdr:nvPicPr>
          <xdr:cNvPr id="19" name="Picture 18">
            <a:extLst>
              <a:ext uri="{FF2B5EF4-FFF2-40B4-BE49-F238E27FC236}">
                <a16:creationId xmlns:a16="http://schemas.microsoft.com/office/drawing/2014/main" id="{D372EC13-1F0A-404C-94DE-FE1297DCC7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93565" y="1092854"/>
            <a:ext cx="242487" cy="2286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1"/>
  <sheetViews>
    <sheetView tabSelected="1" zoomScale="85" zoomScaleNormal="85" workbookViewId="0">
      <selection activeCell="E4" sqref="E4:F4"/>
    </sheetView>
  </sheetViews>
  <sheetFormatPr defaultRowHeight="14.5" x14ac:dyDescent="0.35"/>
  <cols>
    <col min="1" max="1" width="10.54296875" style="7" bestFit="1" customWidth="1"/>
    <col min="2" max="2" width="11.54296875" style="7" bestFit="1" customWidth="1"/>
    <col min="3" max="3" width="23.1796875" customWidth="1"/>
    <col min="4" max="4" width="19.54296875" customWidth="1"/>
    <col min="5" max="5" width="23.81640625" customWidth="1"/>
    <col min="6" max="6" width="12.26953125" customWidth="1"/>
    <col min="7" max="7" width="14.453125" customWidth="1"/>
    <col min="8" max="8" width="11.81640625" customWidth="1"/>
    <col min="9" max="9" width="7.54296875" customWidth="1"/>
    <col min="10" max="10" width="16.453125" bestFit="1" customWidth="1"/>
    <col min="11" max="11" width="9.54296875" customWidth="1"/>
    <col min="12" max="12" width="87.453125" customWidth="1"/>
    <col min="23" max="23" width="15.54296875" bestFit="1" customWidth="1"/>
    <col min="24" max="24" width="9.7265625" bestFit="1" customWidth="1"/>
    <col min="27" max="27" width="39.81640625" customWidth="1"/>
  </cols>
  <sheetData>
    <row r="1" spans="1:31" ht="35.25" customHeight="1" x14ac:dyDescent="0.45">
      <c r="A1" s="6"/>
      <c r="B1" s="6"/>
      <c r="C1" s="40"/>
      <c r="D1" s="64" t="s">
        <v>0</v>
      </c>
      <c r="E1" s="64"/>
      <c r="F1" s="64"/>
      <c r="G1" s="64"/>
      <c r="H1" s="64"/>
      <c r="I1" s="64"/>
      <c r="J1" s="64"/>
      <c r="K1" s="64"/>
      <c r="L1" s="41"/>
      <c r="M1" s="34"/>
      <c r="N1" s="34"/>
      <c r="O1" s="34"/>
      <c r="P1" s="34"/>
      <c r="Q1" s="1"/>
      <c r="R1" s="1"/>
      <c r="S1" s="1"/>
      <c r="T1" s="61" t="s">
        <v>56</v>
      </c>
      <c r="U1" s="61"/>
      <c r="W1" s="61" t="s">
        <v>57</v>
      </c>
      <c r="X1" s="61"/>
      <c r="Y1" s="61"/>
      <c r="Z1" s="61"/>
      <c r="AA1" s="61"/>
      <c r="AB1" s="61"/>
      <c r="AC1" s="61"/>
      <c r="AD1" s="61"/>
      <c r="AE1" s="61"/>
    </row>
    <row r="2" spans="1:31" ht="38.25" customHeight="1" x14ac:dyDescent="0.35">
      <c r="A2" s="20" t="s">
        <v>54</v>
      </c>
      <c r="B2" s="23" t="b">
        <v>0</v>
      </c>
      <c r="C2" s="26"/>
      <c r="D2" s="26"/>
      <c r="E2" s="26"/>
      <c r="F2" s="26"/>
      <c r="G2" s="26"/>
      <c r="H2" s="26"/>
      <c r="I2" s="26"/>
      <c r="J2" s="27"/>
      <c r="K2" s="27"/>
      <c r="L2" s="26"/>
      <c r="M2" s="34"/>
      <c r="N2" s="34"/>
      <c r="O2" s="34"/>
      <c r="P2" s="34"/>
      <c r="Q2" s="1"/>
      <c r="R2" s="1"/>
      <c r="S2" s="1"/>
      <c r="T2" s="15" t="s">
        <v>9</v>
      </c>
      <c r="U2" s="15" t="s">
        <v>55</v>
      </c>
      <c r="W2" s="12" t="s">
        <v>1</v>
      </c>
      <c r="X2" s="12" t="s">
        <v>9</v>
      </c>
      <c r="Y2" s="12" t="s">
        <v>15</v>
      </c>
      <c r="Z2" s="22" t="s">
        <v>60</v>
      </c>
      <c r="AA2" s="62" t="s">
        <v>11</v>
      </c>
      <c r="AB2" s="62"/>
      <c r="AC2" s="62"/>
      <c r="AD2" s="13" t="s">
        <v>55</v>
      </c>
      <c r="AE2" s="14" t="s">
        <v>58</v>
      </c>
    </row>
    <row r="3" spans="1:31" s="55" customFormat="1" x14ac:dyDescent="0.35">
      <c r="A3" s="20" t="s">
        <v>52</v>
      </c>
      <c r="B3" s="23"/>
      <c r="C3" s="5"/>
      <c r="D3" s="65" t="s">
        <v>16</v>
      </c>
      <c r="E3" s="73"/>
      <c r="F3" s="73"/>
      <c r="G3" s="73"/>
      <c r="H3" s="66"/>
      <c r="I3" s="5"/>
      <c r="J3" s="65" t="s">
        <v>63</v>
      </c>
      <c r="K3" s="66"/>
      <c r="L3" s="5"/>
      <c r="M3" s="36"/>
      <c r="N3" s="36"/>
      <c r="O3" s="36">
        <v>15</v>
      </c>
      <c r="P3" s="36"/>
      <c r="Q3" s="54"/>
      <c r="R3" s="54"/>
      <c r="S3" s="54"/>
      <c r="T3" s="10" t="str">
        <f ca="1">"&lt;="&amp;TODAY()</f>
        <v>&lt;=44433</v>
      </c>
      <c r="U3" s="11" t="s">
        <v>59</v>
      </c>
      <c r="W3" s="34" t="s">
        <v>69</v>
      </c>
      <c r="X3" s="59">
        <v>44433</v>
      </c>
      <c r="Y3" s="39">
        <v>0.41438657407407403</v>
      </c>
      <c r="Z3" s="34" t="s">
        <v>69</v>
      </c>
      <c r="AA3" s="38" t="s">
        <v>73</v>
      </c>
      <c r="AB3" s="56"/>
      <c r="AC3" s="56"/>
      <c r="AD3" s="38"/>
      <c r="AE3" s="34">
        <v>15</v>
      </c>
    </row>
    <row r="4" spans="1:31" x14ac:dyDescent="0.35">
      <c r="A4" s="20" t="s">
        <v>53</v>
      </c>
      <c r="B4" s="23">
        <v>15</v>
      </c>
      <c r="C4" s="2"/>
      <c r="D4" s="43" t="s">
        <v>1</v>
      </c>
      <c r="E4" s="63"/>
      <c r="F4" s="63"/>
      <c r="G4" s="44" t="s">
        <v>10</v>
      </c>
      <c r="H4" s="47"/>
      <c r="I4" s="30"/>
      <c r="J4" s="50" t="s">
        <v>64</v>
      </c>
      <c r="K4" s="51">
        <f>LEN(E6)</f>
        <v>0</v>
      </c>
      <c r="L4" s="2"/>
      <c r="M4" s="34"/>
      <c r="N4" s="34" t="s">
        <v>1</v>
      </c>
      <c r="O4" s="34">
        <v>4</v>
      </c>
      <c r="P4" s="34"/>
      <c r="Q4" s="1" t="s">
        <v>10</v>
      </c>
      <c r="R4" s="1">
        <v>7</v>
      </c>
      <c r="S4" s="1"/>
      <c r="T4" s="1"/>
      <c r="W4" s="3"/>
      <c r="X4" s="16"/>
      <c r="Y4" s="33"/>
      <c r="Z4" s="2"/>
      <c r="AA4" s="57"/>
      <c r="AB4" s="7"/>
      <c r="AC4" s="7"/>
      <c r="AD4" s="16"/>
      <c r="AE4" s="2"/>
    </row>
    <row r="5" spans="1:31" x14ac:dyDescent="0.35">
      <c r="A5" s="6"/>
      <c r="B5" s="58">
        <f ca="1">TODAY()</f>
        <v>44433</v>
      </c>
      <c r="C5" s="2"/>
      <c r="D5" s="45" t="s">
        <v>9</v>
      </c>
      <c r="E5" s="78"/>
      <c r="F5" s="78"/>
      <c r="G5" s="46" t="s">
        <v>15</v>
      </c>
      <c r="H5" s="60"/>
      <c r="I5" s="30"/>
      <c r="J5" s="52" t="s">
        <v>65</v>
      </c>
      <c r="K5" s="51">
        <v>160</v>
      </c>
      <c r="L5" s="2"/>
      <c r="M5" s="34"/>
      <c r="N5" s="34" t="s">
        <v>9</v>
      </c>
      <c r="O5" s="34">
        <v>5</v>
      </c>
      <c r="P5" s="34"/>
      <c r="Q5" s="1" t="s">
        <v>15</v>
      </c>
      <c r="R5" s="1">
        <v>6</v>
      </c>
      <c r="S5" s="1"/>
      <c r="T5" s="1"/>
      <c r="W5" s="3"/>
      <c r="X5" s="16"/>
      <c r="Y5" s="33"/>
      <c r="Z5" s="2"/>
      <c r="AA5" s="57"/>
      <c r="AB5" s="7"/>
      <c r="AC5" s="7"/>
      <c r="AD5" s="16"/>
      <c r="AE5" s="2"/>
    </row>
    <row r="6" spans="1:31" ht="15" customHeight="1" x14ac:dyDescent="0.35">
      <c r="A6" s="6"/>
      <c r="B6" s="6"/>
      <c r="C6" s="2"/>
      <c r="D6" s="45" t="s">
        <v>11</v>
      </c>
      <c r="E6" s="74"/>
      <c r="F6" s="74"/>
      <c r="G6" s="75"/>
      <c r="H6" s="76"/>
      <c r="I6" s="2"/>
      <c r="J6" s="52" t="s">
        <v>14</v>
      </c>
      <c r="K6" s="51">
        <f>K5-K4</f>
        <v>160</v>
      </c>
      <c r="L6" s="2"/>
      <c r="M6" s="34"/>
      <c r="N6" s="34" t="s">
        <v>11</v>
      </c>
      <c r="O6" s="34">
        <v>8</v>
      </c>
      <c r="P6" s="34"/>
      <c r="Q6" s="1"/>
      <c r="R6" s="1"/>
      <c r="S6" s="1"/>
      <c r="T6" s="1"/>
      <c r="W6" s="7"/>
      <c r="X6" s="7"/>
      <c r="Y6" s="7"/>
      <c r="Z6" s="7"/>
      <c r="AA6" s="7"/>
      <c r="AB6" s="7"/>
      <c r="AC6" s="7"/>
      <c r="AD6" s="7"/>
      <c r="AE6" s="7"/>
    </row>
    <row r="7" spans="1:31" x14ac:dyDescent="0.35">
      <c r="A7" s="6"/>
      <c r="B7" s="24" t="s">
        <v>21</v>
      </c>
      <c r="C7" s="2"/>
      <c r="D7" s="28"/>
      <c r="E7" s="77"/>
      <c r="F7" s="74"/>
      <c r="G7" s="74"/>
      <c r="H7" s="76"/>
      <c r="I7" s="2"/>
      <c r="J7" s="30"/>
      <c r="K7" s="30"/>
      <c r="L7" s="2"/>
      <c r="M7" s="34"/>
      <c r="N7" s="34"/>
      <c r="O7" s="34"/>
      <c r="P7" s="34"/>
      <c r="Q7" s="1"/>
      <c r="R7" s="1"/>
      <c r="S7" s="1"/>
      <c r="T7" s="1"/>
      <c r="W7" s="7"/>
      <c r="X7" s="7"/>
      <c r="Y7" s="7"/>
      <c r="Z7" s="7"/>
      <c r="AA7" s="7"/>
      <c r="AB7" s="7"/>
      <c r="AC7" s="7"/>
      <c r="AD7" s="7"/>
      <c r="AE7" s="7"/>
    </row>
    <row r="8" spans="1:31" x14ac:dyDescent="0.35">
      <c r="A8" s="6"/>
      <c r="B8" s="25" t="s">
        <v>46</v>
      </c>
      <c r="C8" s="2"/>
      <c r="D8" s="28"/>
      <c r="E8" s="77"/>
      <c r="F8" s="74"/>
      <c r="G8" s="74"/>
      <c r="H8" s="76"/>
      <c r="I8" s="2"/>
      <c r="J8" s="42"/>
      <c r="K8" s="42"/>
      <c r="L8" s="2"/>
      <c r="M8" s="34"/>
      <c r="N8" s="34"/>
      <c r="O8" s="34"/>
      <c r="P8" s="34"/>
      <c r="Q8" s="1"/>
      <c r="R8" s="1"/>
      <c r="S8" s="1"/>
      <c r="T8" s="1"/>
      <c r="W8" s="7"/>
      <c r="X8" s="7"/>
      <c r="Y8" s="7"/>
      <c r="Z8" s="7"/>
      <c r="AA8" s="7"/>
      <c r="AB8" s="7"/>
      <c r="AC8" s="7"/>
      <c r="AD8" s="7"/>
      <c r="AE8" s="7"/>
    </row>
    <row r="9" spans="1:31" x14ac:dyDescent="0.35">
      <c r="A9" s="6"/>
      <c r="B9" s="25" t="s">
        <v>69</v>
      </c>
      <c r="C9" s="2"/>
      <c r="D9" s="28"/>
      <c r="E9" s="77"/>
      <c r="F9" s="74"/>
      <c r="G9" s="74"/>
      <c r="H9" s="76"/>
      <c r="I9" s="2"/>
      <c r="J9" s="65" t="s">
        <v>66</v>
      </c>
      <c r="K9" s="66"/>
      <c r="L9" s="2"/>
      <c r="M9" s="34"/>
      <c r="N9" s="34"/>
      <c r="O9" s="34"/>
      <c r="P9" s="34"/>
      <c r="Q9" s="1"/>
      <c r="R9" s="1"/>
      <c r="S9" s="1"/>
      <c r="T9" s="1"/>
      <c r="W9" s="7"/>
      <c r="X9" s="7"/>
      <c r="Y9" s="7"/>
      <c r="Z9" s="7"/>
      <c r="AA9" s="7"/>
      <c r="AB9" s="7"/>
      <c r="AC9" s="7"/>
      <c r="AD9" s="7"/>
      <c r="AE9" s="7"/>
    </row>
    <row r="10" spans="1:31" x14ac:dyDescent="0.35">
      <c r="A10" s="6"/>
      <c r="B10" s="25" t="s">
        <v>19</v>
      </c>
      <c r="C10" s="2"/>
      <c r="D10" s="28"/>
      <c r="E10" s="77"/>
      <c r="F10" s="74"/>
      <c r="G10" s="74"/>
      <c r="H10" s="76"/>
      <c r="I10" s="2"/>
      <c r="J10" s="52" t="s">
        <v>2</v>
      </c>
      <c r="K10" s="51" t="s">
        <v>12</v>
      </c>
      <c r="L10" s="2"/>
      <c r="M10" s="34"/>
      <c r="N10" s="34"/>
      <c r="O10" s="34"/>
      <c r="P10" s="34"/>
      <c r="Q10" s="1"/>
      <c r="R10" s="1"/>
      <c r="S10" s="1"/>
      <c r="T10" s="1"/>
      <c r="W10" s="7"/>
      <c r="X10" s="7"/>
      <c r="Y10" s="7"/>
      <c r="Z10" s="7"/>
      <c r="AA10" s="7"/>
      <c r="AB10" s="7"/>
      <c r="AC10" s="7"/>
      <c r="AD10" s="7"/>
      <c r="AE10" s="7"/>
    </row>
    <row r="11" spans="1:31" x14ac:dyDescent="0.35">
      <c r="A11" s="6"/>
      <c r="B11" s="25" t="s">
        <v>20</v>
      </c>
      <c r="C11" s="2"/>
      <c r="D11" s="29"/>
      <c r="E11" s="77"/>
      <c r="F11" s="74"/>
      <c r="G11" s="74"/>
      <c r="H11" s="76"/>
      <c r="I11" s="2"/>
      <c r="J11" s="52" t="s">
        <v>3</v>
      </c>
      <c r="K11" s="53" t="s">
        <v>13</v>
      </c>
      <c r="L11" s="2"/>
      <c r="M11" s="34"/>
      <c r="N11" s="34"/>
      <c r="O11" s="34"/>
      <c r="P11" s="34"/>
      <c r="Q11" s="1"/>
      <c r="R11" s="1"/>
      <c r="S11" s="1"/>
      <c r="T11" s="1"/>
      <c r="W11" s="7"/>
      <c r="X11" s="7"/>
      <c r="Y11" s="7"/>
      <c r="Z11" s="7"/>
      <c r="AA11" s="7"/>
      <c r="AB11" s="7"/>
      <c r="AC11" s="7"/>
      <c r="AD11" s="7"/>
      <c r="AE11" s="7"/>
    </row>
    <row r="12" spans="1:31" x14ac:dyDescent="0.35">
      <c r="A12" s="6"/>
      <c r="B12" s="25" t="s">
        <v>22</v>
      </c>
      <c r="C12" s="2"/>
      <c r="D12" s="4" t="s">
        <v>47</v>
      </c>
      <c r="E12" s="31" t="s">
        <v>48</v>
      </c>
      <c r="F12" s="31" t="s">
        <v>49</v>
      </c>
      <c r="G12" s="31" t="s">
        <v>50</v>
      </c>
      <c r="H12" s="31" t="s">
        <v>51</v>
      </c>
      <c r="I12" s="31"/>
      <c r="J12" s="2"/>
      <c r="K12" s="2"/>
      <c r="L12" s="2"/>
      <c r="M12" s="34"/>
      <c r="N12" s="34"/>
      <c r="O12" s="34"/>
      <c r="P12" s="34"/>
      <c r="Q12" s="1"/>
      <c r="R12" s="1"/>
      <c r="S12" s="1"/>
      <c r="T12" s="1"/>
      <c r="W12" s="7"/>
      <c r="X12" s="7"/>
      <c r="Y12" s="7"/>
      <c r="Z12" s="7"/>
      <c r="AA12" s="7"/>
      <c r="AB12" s="7"/>
      <c r="AC12" s="7"/>
      <c r="AD12" s="7"/>
      <c r="AE12" s="7"/>
    </row>
    <row r="13" spans="1:31" x14ac:dyDescent="0.35">
      <c r="A13" s="6"/>
      <c r="B13" s="6"/>
      <c r="C13" s="2"/>
      <c r="D13" s="70" t="s">
        <v>17</v>
      </c>
      <c r="E13" s="71"/>
      <c r="F13" s="71"/>
      <c r="G13" s="71"/>
      <c r="H13" s="71"/>
      <c r="I13" s="71"/>
      <c r="J13" s="71"/>
      <c r="K13" s="72"/>
      <c r="L13" s="2"/>
      <c r="M13" s="34"/>
      <c r="N13" s="34"/>
      <c r="O13" s="34"/>
      <c r="P13" s="34"/>
      <c r="Q13" s="1"/>
      <c r="R13" s="1"/>
      <c r="S13" s="1"/>
      <c r="T13" s="1"/>
      <c r="W13" s="7"/>
      <c r="X13" s="7"/>
      <c r="Y13" s="7"/>
      <c r="Z13" s="7"/>
      <c r="AA13" s="7"/>
      <c r="AB13" s="7"/>
      <c r="AC13" s="7"/>
      <c r="AD13" s="7"/>
      <c r="AE13" s="7"/>
    </row>
    <row r="14" spans="1:31" x14ac:dyDescent="0.35">
      <c r="A14" s="6"/>
      <c r="B14" s="6"/>
      <c r="C14" s="2"/>
      <c r="D14" s="48" t="s">
        <v>1</v>
      </c>
      <c r="E14" s="49" t="s">
        <v>9</v>
      </c>
      <c r="F14" s="49" t="s">
        <v>15</v>
      </c>
      <c r="G14" s="49" t="s">
        <v>60</v>
      </c>
      <c r="H14" s="67" t="s">
        <v>11</v>
      </c>
      <c r="I14" s="68"/>
      <c r="J14" s="69"/>
      <c r="K14" s="49" t="s">
        <v>55</v>
      </c>
      <c r="L14" s="32" t="s">
        <v>58</v>
      </c>
      <c r="M14" s="34"/>
      <c r="N14" s="34"/>
      <c r="O14" s="34"/>
      <c r="P14" s="34"/>
      <c r="Q14" s="1"/>
      <c r="R14" s="1"/>
      <c r="S14" s="1"/>
      <c r="T14" s="1"/>
      <c r="W14" s="7"/>
      <c r="X14" s="7"/>
      <c r="Y14" s="7"/>
      <c r="Z14" s="7"/>
      <c r="AA14" s="7"/>
      <c r="AB14" s="7"/>
      <c r="AC14" s="7"/>
      <c r="AD14" s="7"/>
      <c r="AE14" s="7"/>
    </row>
    <row r="15" spans="1:31" x14ac:dyDescent="0.35">
      <c r="A15" s="6"/>
      <c r="B15" s="6"/>
      <c r="C15" s="34"/>
      <c r="D15" s="34"/>
      <c r="E15" s="37"/>
      <c r="F15" s="39"/>
      <c r="G15" s="34"/>
      <c r="H15" s="38"/>
      <c r="I15" s="38"/>
      <c r="J15" s="38"/>
      <c r="K15" s="38"/>
      <c r="L15" s="34"/>
      <c r="M15" s="35"/>
      <c r="N15" s="35"/>
      <c r="O15" s="35"/>
      <c r="P15" s="35"/>
    </row>
    <row r="16" spans="1:31" x14ac:dyDescent="0.35">
      <c r="A16" s="6"/>
      <c r="B16" s="6"/>
      <c r="C16" s="34"/>
      <c r="D16" s="34"/>
      <c r="E16" s="37"/>
      <c r="F16" s="39"/>
      <c r="G16" s="34"/>
      <c r="H16" s="38"/>
      <c r="I16" s="38"/>
      <c r="J16" s="38"/>
      <c r="K16" s="38"/>
      <c r="L16" s="34"/>
      <c r="M16" s="35"/>
      <c r="N16" s="35"/>
      <c r="O16" s="35"/>
      <c r="P16" s="35"/>
    </row>
    <row r="17" spans="1:16" x14ac:dyDescent="0.35">
      <c r="A17" s="6"/>
      <c r="B17" s="6"/>
      <c r="C17" s="34"/>
      <c r="D17" s="34"/>
      <c r="E17" s="37"/>
      <c r="F17" s="39"/>
      <c r="G17" s="34"/>
      <c r="H17" s="38"/>
      <c r="I17" s="38"/>
      <c r="J17" s="38"/>
      <c r="K17" s="38"/>
      <c r="L17" s="34"/>
      <c r="M17" s="35"/>
      <c r="N17" s="35"/>
      <c r="O17" s="35"/>
      <c r="P17" s="35"/>
    </row>
    <row r="18" spans="1:16" x14ac:dyDescent="0.35">
      <c r="A18" s="6"/>
      <c r="B18" s="6"/>
      <c r="C18" s="34"/>
      <c r="D18" s="34"/>
      <c r="E18" s="37"/>
      <c r="F18" s="39"/>
      <c r="G18" s="34"/>
      <c r="H18" s="38"/>
      <c r="I18" s="38"/>
      <c r="J18" s="38"/>
      <c r="K18" s="38"/>
      <c r="L18" s="34"/>
      <c r="M18" s="35"/>
      <c r="N18" s="35"/>
      <c r="O18" s="35"/>
      <c r="P18" s="35"/>
    </row>
    <row r="19" spans="1:16" x14ac:dyDescent="0.35">
      <c r="A19" s="6"/>
      <c r="B19" s="6"/>
      <c r="C19" s="34"/>
      <c r="D19" s="34"/>
      <c r="E19" s="37"/>
      <c r="F19" s="39"/>
      <c r="G19" s="34"/>
      <c r="H19" s="34"/>
      <c r="I19" s="34"/>
      <c r="J19" s="34"/>
      <c r="K19" s="34"/>
      <c r="L19" s="34"/>
      <c r="M19" s="35"/>
      <c r="N19" s="35"/>
      <c r="O19" s="35"/>
      <c r="P19" s="35"/>
    </row>
    <row r="20" spans="1:16" x14ac:dyDescent="0.35">
      <c r="A20" s="6"/>
      <c r="B20" s="6"/>
      <c r="C20" s="34"/>
      <c r="D20" s="34"/>
      <c r="E20" s="37"/>
      <c r="F20" s="39"/>
      <c r="G20" s="34"/>
      <c r="H20" s="34"/>
      <c r="I20" s="34"/>
      <c r="J20" s="34"/>
      <c r="K20" s="34"/>
      <c r="L20" s="34"/>
      <c r="M20" s="35"/>
      <c r="N20" s="35"/>
      <c r="O20" s="35"/>
      <c r="P20" s="35"/>
    </row>
    <row r="21" spans="1:16" x14ac:dyDescent="0.35">
      <c r="A21" s="6"/>
      <c r="B21" s="6"/>
      <c r="C21" s="34"/>
      <c r="D21" s="34"/>
      <c r="E21" s="37"/>
      <c r="F21" s="39"/>
      <c r="G21" s="34"/>
      <c r="H21" s="34"/>
      <c r="I21" s="34"/>
      <c r="J21" s="34"/>
      <c r="K21" s="34"/>
      <c r="L21" s="34"/>
      <c r="M21" s="35"/>
      <c r="N21" s="35"/>
      <c r="O21" s="35"/>
      <c r="P21" s="35"/>
    </row>
  </sheetData>
  <mergeCells count="12">
    <mergeCell ref="J9:K9"/>
    <mergeCell ref="H14:J14"/>
    <mergeCell ref="D13:K13"/>
    <mergeCell ref="D3:H3"/>
    <mergeCell ref="E6:H11"/>
    <mergeCell ref="E5:F5"/>
    <mergeCell ref="J3:K3"/>
    <mergeCell ref="T1:U1"/>
    <mergeCell ref="AA2:AC2"/>
    <mergeCell ref="W1:AE1"/>
    <mergeCell ref="E4:F4"/>
    <mergeCell ref="D1:K1"/>
  </mergeCells>
  <conditionalFormatting sqref="D15:D19">
    <cfRule type="expression" dxfId="6" priority="2">
      <formula>$D15&lt;&gt;""</formula>
    </cfRule>
  </conditionalFormatting>
  <conditionalFormatting sqref="K15:K19">
    <cfRule type="expression" dxfId="5" priority="1">
      <formula>$D15&lt;&gt;""</formula>
    </cfRule>
  </conditionalFormatting>
  <conditionalFormatting sqref="D15:K19">
    <cfRule type="expression" dxfId="4" priority="5">
      <formula>$B$3=ROW()</formula>
    </cfRule>
    <cfRule type="expression" dxfId="3" priority="7">
      <formula>AND($D15&lt;&gt;"",$D16="")</formula>
    </cfRule>
    <cfRule type="expression" dxfId="2" priority="8">
      <formula>AND($D15&lt;&gt;"",MOD(ROW(),2)=0)</formula>
    </cfRule>
    <cfRule type="expression" dxfId="1" priority="18">
      <formula>AND($D15&lt;&gt;"",MOD(ROW(),2)=1)</formula>
    </cfRule>
  </conditionalFormatting>
  <dataValidations count="1">
    <dataValidation type="list" allowBlank="1" showInputMessage="1" showErrorMessage="1" sqref="H4" xr:uid="{00000000-0002-0000-0000-000000000000}">
      <formula1>CustType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13"/>
  <sheetViews>
    <sheetView workbookViewId="0">
      <selection activeCell="N3" sqref="N3"/>
    </sheetView>
  </sheetViews>
  <sheetFormatPr defaultRowHeight="14.5" x14ac:dyDescent="0.35"/>
  <cols>
    <col min="1" max="1" width="10.54296875" bestFit="1" customWidth="1"/>
    <col min="3" max="3" width="14.453125" bestFit="1" customWidth="1"/>
    <col min="4" max="4" width="11.7265625" customWidth="1"/>
    <col min="5" max="5" width="10.81640625" bestFit="1" customWidth="1"/>
    <col min="6" max="6" width="16.7265625" customWidth="1"/>
    <col min="7" max="7" width="14.26953125" bestFit="1" customWidth="1"/>
    <col min="8" max="8" width="10.81640625" customWidth="1"/>
    <col min="14" max="14" width="14.453125" bestFit="1" customWidth="1"/>
    <col min="15" max="15" width="10.81640625" bestFit="1" customWidth="1"/>
    <col min="19" max="19" width="14.453125" bestFit="1" customWidth="1"/>
    <col min="20" max="20" width="11" bestFit="1" customWidth="1"/>
    <col min="22" max="22" width="14.81640625" bestFit="1" customWidth="1"/>
    <col min="23" max="23" width="14.26953125" bestFit="1" customWidth="1"/>
    <col min="24" max="24" width="11.26953125" bestFit="1" customWidth="1"/>
  </cols>
  <sheetData>
    <row r="1" spans="1:25" ht="18.5" x14ac:dyDescent="0.45">
      <c r="A1" s="79" t="s">
        <v>45</v>
      </c>
      <c r="B1" s="79"/>
      <c r="C1" s="79"/>
      <c r="D1" s="79"/>
      <c r="E1" s="79"/>
      <c r="F1" s="79"/>
      <c r="G1" s="79"/>
      <c r="H1" s="79"/>
      <c r="I1" s="17"/>
      <c r="N1" s="80" t="s">
        <v>56</v>
      </c>
      <c r="O1" s="80"/>
      <c r="Q1" s="81" t="s">
        <v>57</v>
      </c>
      <c r="R1" s="82"/>
      <c r="S1" s="82"/>
      <c r="T1" s="82"/>
      <c r="U1" s="82"/>
      <c r="V1" s="82"/>
      <c r="W1" s="82"/>
      <c r="X1" s="82"/>
      <c r="Y1" s="82"/>
    </row>
    <row r="2" spans="1:25" x14ac:dyDescent="0.35">
      <c r="A2" s="18" t="s">
        <v>2</v>
      </c>
      <c r="B2" s="18" t="s">
        <v>3</v>
      </c>
      <c r="C2" s="18" t="s">
        <v>4</v>
      </c>
      <c r="D2" s="18" t="s">
        <v>5</v>
      </c>
      <c r="E2" s="18" t="s">
        <v>6</v>
      </c>
      <c r="F2" s="18" t="s">
        <v>7</v>
      </c>
      <c r="G2" s="18" t="s">
        <v>8</v>
      </c>
      <c r="H2" s="18" t="s">
        <v>61</v>
      </c>
      <c r="I2" s="18" t="s">
        <v>58</v>
      </c>
      <c r="N2" s="18" t="s">
        <v>4</v>
      </c>
      <c r="O2" s="18" t="s">
        <v>6</v>
      </c>
      <c r="Q2" s="18" t="s">
        <v>2</v>
      </c>
      <c r="R2" s="18" t="s">
        <v>3</v>
      </c>
      <c r="S2" s="18" t="s">
        <v>4</v>
      </c>
      <c r="T2" s="18" t="s">
        <v>5</v>
      </c>
      <c r="U2" s="18" t="s">
        <v>6</v>
      </c>
      <c r="V2" s="18" t="s">
        <v>7</v>
      </c>
      <c r="W2" s="18" t="s">
        <v>8</v>
      </c>
      <c r="X2" s="18" t="s">
        <v>61</v>
      </c>
      <c r="Y2" s="18" t="s">
        <v>58</v>
      </c>
    </row>
    <row r="3" spans="1:25" x14ac:dyDescent="0.35">
      <c r="A3" t="s">
        <v>68</v>
      </c>
      <c r="B3" t="s">
        <v>23</v>
      </c>
      <c r="C3" s="7" t="s">
        <v>69</v>
      </c>
      <c r="D3" s="8">
        <v>2532529284</v>
      </c>
      <c r="E3" s="9" t="s">
        <v>44</v>
      </c>
      <c r="F3" s="21">
        <v>44433.414560185185</v>
      </c>
      <c r="G3" t="s">
        <v>69</v>
      </c>
      <c r="H3" t="s">
        <v>62</v>
      </c>
      <c r="I3">
        <f>ROW()</f>
        <v>3</v>
      </c>
      <c r="N3" s="19" t="s">
        <v>69</v>
      </c>
      <c r="O3" s="19"/>
      <c r="Q3" t="s">
        <v>68</v>
      </c>
      <c r="R3" t="s">
        <v>23</v>
      </c>
      <c r="S3" s="7" t="s">
        <v>69</v>
      </c>
      <c r="T3" s="8">
        <v>2532529284</v>
      </c>
      <c r="U3" s="9" t="s">
        <v>44</v>
      </c>
      <c r="V3" s="21">
        <v>44433.404560185183</v>
      </c>
      <c r="W3" t="s">
        <v>69</v>
      </c>
      <c r="X3" t="s">
        <v>62</v>
      </c>
      <c r="Y3">
        <v>3</v>
      </c>
    </row>
    <row r="4" spans="1:25" x14ac:dyDescent="0.35">
      <c r="A4" t="s">
        <v>24</v>
      </c>
      <c r="B4" t="s">
        <v>25</v>
      </c>
      <c r="C4" s="7" t="s">
        <v>19</v>
      </c>
      <c r="D4" s="8">
        <v>9534324069</v>
      </c>
      <c r="E4" s="9" t="s">
        <v>44</v>
      </c>
      <c r="F4" s="21">
        <v>44432.53707175926</v>
      </c>
      <c r="G4" t="s">
        <v>67</v>
      </c>
      <c r="H4" t="s">
        <v>71</v>
      </c>
      <c r="I4">
        <f>ROW()</f>
        <v>4</v>
      </c>
      <c r="S4" s="7"/>
      <c r="T4" s="8"/>
      <c r="U4" s="9"/>
      <c r="V4" s="21"/>
    </row>
    <row r="5" spans="1:25" x14ac:dyDescent="0.35">
      <c r="A5" t="s">
        <v>26</v>
      </c>
      <c r="B5" t="s">
        <v>27</v>
      </c>
      <c r="C5" s="7" t="s">
        <v>20</v>
      </c>
      <c r="D5" s="8">
        <v>8728469083</v>
      </c>
      <c r="E5" s="9" t="s">
        <v>44</v>
      </c>
      <c r="F5" s="21">
        <v>44432.537083333336</v>
      </c>
      <c r="G5" t="s">
        <v>67</v>
      </c>
      <c r="H5" t="s">
        <v>62</v>
      </c>
      <c r="I5">
        <f>ROW()</f>
        <v>5</v>
      </c>
      <c r="S5" s="7"/>
      <c r="T5" s="8"/>
      <c r="U5" s="9"/>
      <c r="V5" s="21"/>
    </row>
    <row r="6" spans="1:25" x14ac:dyDescent="0.35">
      <c r="A6" t="s">
        <v>28</v>
      </c>
      <c r="B6" t="s">
        <v>29</v>
      </c>
      <c r="C6" s="7" t="s">
        <v>22</v>
      </c>
      <c r="D6" s="8">
        <v>4899654523</v>
      </c>
      <c r="E6" s="9" t="s">
        <v>44</v>
      </c>
      <c r="F6" s="21">
        <v>44432.537083333336</v>
      </c>
      <c r="G6" t="s">
        <v>67</v>
      </c>
      <c r="H6" t="s">
        <v>71</v>
      </c>
      <c r="I6">
        <f>ROW()</f>
        <v>6</v>
      </c>
      <c r="S6" s="7"/>
      <c r="T6" s="8"/>
      <c r="U6" s="9"/>
    </row>
    <row r="7" spans="1:25" x14ac:dyDescent="0.35">
      <c r="A7" t="s">
        <v>30</v>
      </c>
      <c r="B7" t="s">
        <v>31</v>
      </c>
      <c r="C7" s="7" t="s">
        <v>18</v>
      </c>
      <c r="D7" s="8">
        <v>5418091892</v>
      </c>
      <c r="E7" s="9" t="s">
        <v>44</v>
      </c>
      <c r="F7" s="21">
        <v>44432.557812500003</v>
      </c>
      <c r="G7" t="s">
        <v>72</v>
      </c>
      <c r="H7" t="s">
        <v>62</v>
      </c>
      <c r="I7">
        <f>ROW()</f>
        <v>7</v>
      </c>
      <c r="S7" s="7"/>
      <c r="T7" s="8"/>
      <c r="U7" s="9"/>
    </row>
    <row r="8" spans="1:25" x14ac:dyDescent="0.35">
      <c r="A8" t="s">
        <v>32</v>
      </c>
      <c r="B8" t="s">
        <v>33</v>
      </c>
      <c r="C8" s="7" t="s">
        <v>19</v>
      </c>
      <c r="D8" s="8">
        <v>5637544366</v>
      </c>
      <c r="E8" s="9" t="s">
        <v>44</v>
      </c>
      <c r="F8" s="21">
        <v>44432.537094907406</v>
      </c>
      <c r="G8" t="s">
        <v>67</v>
      </c>
      <c r="H8" t="s">
        <v>62</v>
      </c>
      <c r="I8">
        <f>ROW()</f>
        <v>8</v>
      </c>
      <c r="S8" s="7"/>
      <c r="T8" s="8"/>
      <c r="U8" s="9"/>
    </row>
    <row r="9" spans="1:25" x14ac:dyDescent="0.35">
      <c r="A9" t="s">
        <v>34</v>
      </c>
      <c r="B9" t="s">
        <v>35</v>
      </c>
      <c r="C9" s="7" t="s">
        <v>20</v>
      </c>
      <c r="D9" s="8">
        <v>8867272495</v>
      </c>
      <c r="E9" s="9" t="s">
        <v>44</v>
      </c>
      <c r="F9" s="21">
        <v>44432.537094907406</v>
      </c>
      <c r="G9" t="s">
        <v>67</v>
      </c>
      <c r="H9" t="s">
        <v>71</v>
      </c>
      <c r="I9">
        <f>ROW()</f>
        <v>9</v>
      </c>
      <c r="S9" s="7"/>
      <c r="T9" s="8"/>
      <c r="U9" s="9"/>
    </row>
    <row r="10" spans="1:25" x14ac:dyDescent="0.35">
      <c r="A10" t="s">
        <v>36</v>
      </c>
      <c r="B10" t="s">
        <v>37</v>
      </c>
      <c r="C10" s="7" t="s">
        <v>22</v>
      </c>
      <c r="D10" s="8">
        <v>5238693304</v>
      </c>
      <c r="E10" s="9" t="s">
        <v>44</v>
      </c>
      <c r="F10" s="21">
        <v>44432.537094907406</v>
      </c>
      <c r="G10" t="s">
        <v>67</v>
      </c>
      <c r="H10" t="s">
        <v>62</v>
      </c>
      <c r="I10">
        <f>ROW()</f>
        <v>10</v>
      </c>
      <c r="S10" s="7"/>
      <c r="T10" s="8"/>
      <c r="U10" s="9"/>
    </row>
    <row r="11" spans="1:25" x14ac:dyDescent="0.35">
      <c r="A11" t="s">
        <v>38</v>
      </c>
      <c r="B11" t="s">
        <v>39</v>
      </c>
      <c r="C11" s="7" t="s">
        <v>18</v>
      </c>
      <c r="D11" s="8">
        <v>5238693304</v>
      </c>
      <c r="E11" s="9" t="s">
        <v>44</v>
      </c>
      <c r="F11" s="21">
        <v>44432.544502314813</v>
      </c>
      <c r="G11" t="s">
        <v>70</v>
      </c>
      <c r="H11" t="s">
        <v>62</v>
      </c>
      <c r="I11">
        <f>ROW()</f>
        <v>11</v>
      </c>
      <c r="S11" s="7"/>
      <c r="T11" s="8"/>
      <c r="U11" s="9"/>
    </row>
    <row r="12" spans="1:25" x14ac:dyDescent="0.35">
      <c r="A12" t="s">
        <v>40</v>
      </c>
      <c r="B12" t="s">
        <v>41</v>
      </c>
      <c r="C12" s="7" t="s">
        <v>19</v>
      </c>
      <c r="D12" s="8">
        <v>5238693304</v>
      </c>
      <c r="E12" s="9" t="s">
        <v>44</v>
      </c>
      <c r="F12" s="21">
        <v>44432.537106481483</v>
      </c>
      <c r="G12" t="s">
        <v>67</v>
      </c>
      <c r="H12" t="s">
        <v>62</v>
      </c>
      <c r="I12">
        <f>ROW()</f>
        <v>12</v>
      </c>
      <c r="S12" s="7"/>
      <c r="T12" s="8"/>
      <c r="U12" s="9"/>
    </row>
    <row r="13" spans="1:25" x14ac:dyDescent="0.35">
      <c r="A13" t="s">
        <v>42</v>
      </c>
      <c r="B13" t="s">
        <v>43</v>
      </c>
      <c r="C13" s="7" t="s">
        <v>20</v>
      </c>
      <c r="D13" s="8">
        <v>5238693304</v>
      </c>
      <c r="E13" s="9" t="s">
        <v>44</v>
      </c>
      <c r="F13" s="21">
        <v>44432.537106481483</v>
      </c>
      <c r="G13" t="s">
        <v>67</v>
      </c>
      <c r="H13" t="s">
        <v>62</v>
      </c>
      <c r="I13">
        <f>ROW()</f>
        <v>13</v>
      </c>
      <c r="S13" s="7"/>
      <c r="T13" s="8"/>
      <c r="U13" s="9"/>
    </row>
  </sheetData>
  <mergeCells count="3">
    <mergeCell ref="A1:H1"/>
    <mergeCell ref="N1:O1"/>
    <mergeCell ref="Q1:Y1"/>
  </mergeCells>
  <conditionalFormatting sqref="A15:I100 A3:I13">
    <cfRule type="expression" dxfId="0" priority="1">
      <formula>AND($A3&lt;&gt;"",MOD(ROW(),2)=0)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Campaigns</vt:lpstr>
      <vt:lpstr>Customers</vt:lpstr>
      <vt:lpstr>Campaigns!Criteria</vt:lpstr>
      <vt:lpstr>Customers!Criteria</vt:lpstr>
      <vt:lpstr>CustType</vt:lpstr>
      <vt:lpstr>Campaigns!Extract</vt:lpstr>
      <vt:lpstr>Customers!Extract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Ken</cp:lastModifiedBy>
  <dcterms:created xsi:type="dcterms:W3CDTF">2020-04-26T13:52:19Z</dcterms:created>
  <dcterms:modified xsi:type="dcterms:W3CDTF">2021-08-25T17:18:40Z</dcterms:modified>
</cp:coreProperties>
</file>